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文档一览" sheetId="2" r:id="rId5"/>
    <sheet name="四维度数值设计" sheetId="3" r:id="rId6"/>
    <sheet name="卡牌格式csv" sheetId="4" r:id="rId7"/>
    <sheet name="判定公式" sheetId="5" r:id="rId8"/>
    <sheet name="人格判词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<sst xmlns="http://schemas.openxmlformats.org/spreadsheetml/2006/main" count="6" uniqueCount="6">
  <si>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 xml:space="preserve">  </t>
  </si>
  <si>
    <t/>
    <r>
      <rPr>
        <u/>
        <sz val="9.75"/>
        <color theme="10"/>
        <rFont val="Calibri"/>
        <family val="2"/>
      </rPr>
      <t>「我有一个想法！」游戏创作赛指南</t>
    </r>
    <r>
      <t xml:space="preserve"> </t>
    </r>
  </si>
  <si>
    <t/>
    <r>
      <rPr>
        <u/>
        <color theme="10"/>
      </rPr>
      <t>电车难题版MBTI-脑洞</t>
    </r>
    <r>
      <t xml:space="preserve"> </t>
    </r>
  </si>
  <si>
    <t/>
    <r>
      <rPr>
        <u/>
        <color theme="10"/>
      </rPr>
      <t xml:space="preserve">赛博死神后勤组 | TodoList</t>
    </r>
    <r>
      <t xml:space="preserve"> </t>
    </r>
  </si>
  <si>
    <t/>
    <r>
      <rPr>
        <u/>
        <sz val="9.75"/>
        <color theme="10"/>
        <rFont val="Calibri"/>
        <family val="2"/>
      </rPr>
      <t>「我有一个想法！」游戏创作赛FAQ</t>
    </r>
    <r>
      <t xml:space="preserve"> </t>
    </r>
  </si>
  <si>
    <t/>
    <r>
      <rPr>
        <u/>
        <sz val="9.75"/>
        <color theme="10"/>
        <rFont val="Calibri"/>
        <family val="2"/>
      </rPr>
      <t xml:space="preserve">赛博死神升天中 | 四维Icon设定</t>
    </r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</si>
</sst>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FFFFF"/>
      <name val="ui-monospace"/>
      <family val="2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/>
        <bgColor/>
      </patternFill>
    </fill>
    <fill>
      <patternFill patternType="solid">
        <fgColor rgb="FF1F4E78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1" fillId="0" fontId="0" numFmtId="0" xfId="0">
      <alignment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true" applyFont="true" applyNumberFormat="false" applyProtection="false" borderId="12" fillId="2" fontId="3" numFmtId="0" xfId="0">
      <alignment vertical="center" wrapText="true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16" fillId="0" fontId="6" numFmtId="0" xfId="0">
      <alignment vertical="center"/>
    </xf>
    <xf applyAlignment="true" applyBorder="false" applyFill="false" applyFont="true" applyNumberFormat="false" applyProtection="false" borderId="17" fillId="0" fontId="7" numFmtId="0" xfId="0">
      <alignment vertical="top" wrapText="true"/>
    </xf>
    <xf applyAlignment="true" applyBorder="false" applyFill="true" applyFont="true" applyNumberFormat="false" applyProtection="false" borderId="18" fillId="3" fontId="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papergames.feishu.cn/wiki/T64ewlKG4izMiSk75sZcdOganaf" Type="http://schemas.openxmlformats.org/officeDocument/2006/relationships/hyperlink" TargetMode="External"></Relationship><Relationship Id="rId2" Target="https://papergames.feishu.cn/wiki/PgOUwGz5Ei0VBYkmLWwcCg84nWb" Type="http://schemas.openxmlformats.org/officeDocument/2006/relationships/hyperlink" TargetMode="External"></Relationship><Relationship Id="rId3" Target="https://papergames.feishu.cn/wiki/LQqSw42SFiZugJk6mqScrCzZn3d" Type="http://schemas.openxmlformats.org/officeDocument/2006/relationships/hyperlink" TargetMode="External"></Relationship><Relationship Id="rId4" Target="https://papergames.feishu.cn/wiki/HGHawt7Onixgugkrg1UcSTC6npe" Type="http://schemas.openxmlformats.org/officeDocument/2006/relationships/hyperlink" TargetMode="External"></Relationship><Relationship Id="rId5" Target="https://papergames.feishu.cn/wiki/L7YhwPhs1iDV4dk1WglcATgUnoh" Type="http://schemas.openxmlformats.org/officeDocument/2006/relationships/hyperlink" TargetMode="External"></Relationship><Relationship Id="rId6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F1" s="1"/>
      <c r="G1" s="1"/>
    </row>
    <row r="2">
      <c r="B2" s="4" t="str">
        <v>赛事相关文档</v>
      </c>
      <c r="C2" s="7"/>
      <c r="D2" s="5"/>
      <c r="E2" s="1"/>
      <c r="F2" s="6" t="str">
        <v>项目相关文档</v>
      </c>
      <c r="G2" s="1"/>
      <c r="H2" s="1"/>
      <c r="I2" s="4" t="str">
        <v>项目信息</v>
      </c>
      <c r="J2" s="7"/>
      <c r="K2" s="7"/>
      <c r="L2" s="5"/>
    </row>
    <row r="3">
      <c r="B3" s="2" t="s">
        <v>1</v>
      </c>
      <c r="D3" s="3"/>
      <c r="E3" s="1"/>
      <c r="F3" s="1" t="s">
        <v>2</v>
      </c>
      <c r="G3" s="1"/>
      <c r="H3" s="1"/>
      <c r="I3" s="2" t="str">
        <v>游戏名称（10个字内）</v>
      </c>
      <c r="L3" s="3"/>
    </row>
    <row r="4">
      <c r="B4" s="9" t="s">
        <v>4</v>
      </c>
      <c r="C4" s="8"/>
      <c r="D4" s="10"/>
      <c r="E4" s="1"/>
      <c r="F4" s="1" t="s">
        <v>3</v>
      </c>
      <c r="G4" s="1"/>
      <c r="H4" s="1"/>
      <c r="I4" s="2" t="str">
        <v>游戏类型（至多使用3个类型标签）</v>
      </c>
      <c r="L4" s="3"/>
    </row>
    <row r="5">
      <c r="E5" s="1"/>
      <c r="F5" s="11" t="s">
        <v>5</v>
      </c>
      <c r="G5" s="1"/>
      <c r="H5" s="1"/>
      <c r="I5" s="2" t="str">
        <v>核心使用的AI工具名称（至多列举3个核心使用的AI工具）</v>
      </c>
      <c r="L5" s="3"/>
    </row>
    <row r="6">
      <c r="F6" s="1"/>
      <c r="G6" s="1"/>
      <c r="I6" s="2" t="str">
        <v>游戏封面图（16:9、JPG/PNG格式、1920*1080xp）</v>
      </c>
      <c r="L6" s="3"/>
    </row>
    <row r="7">
      <c r="I7" s="2" t="str">
        <v>一句话安利（30字内）</v>
      </c>
      <c r="L7" s="3"/>
    </row>
    <row r="8">
      <c r="I8" s="2" t="str">
        <v>游戏简介（70字内）</v>
      </c>
      <c r="L8" s="3"/>
    </row>
    <row r="9">
      <c r="I9" s="9" t="str">
        <v>制作组的话（可以是创作感受，也可以是想对玩家说的话，70字内）</v>
      </c>
      <c r="J9" s="8"/>
      <c r="K9" s="8"/>
      <c r="L9" s="10"/>
    </row>
  </sheetData>
  <hyperlinks>
    <hyperlink ref="B3" display="「我有一个想法！」游戏创作赛指南" r:id="rId1"/>
    <hyperlink ref="F3" display="电车难题版MBTI-脑洞" r:id="rId2"/>
    <hyperlink ref="F4" display="赛博死神后勤组 | TodoList" r:id="rId3"/>
    <hyperlink ref="B4" display="「我有一个想法！」游戏创作赛FAQ" r:id="rId4"/>
    <hyperlink ref="F5" display="赛博死神升天中 | 四维Icon设定" r:id="rId5"/>
  </hyperlinks>
  <picture r:id="rId6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H1" s="11" t="str">
        <v>4条双极轴，每轴都是一对对立价值（参考MBTI）</v>
      </c>
    </row>
    <row r="2">
      <c r="B2" s="6" t="str">
        <v>王权玩法的核心循环</v>
      </c>
      <c r="H2" s="6" t="str">
        <v>Q-I 数量主义 vs 个体主义</v>
      </c>
    </row>
    <row r="3">
      <c r="B3" s="11" t="str">
        <v>看卡牌问题</v>
      </c>
      <c r="C3" s="11" t="str">
        <v>左右划动二选一</v>
      </c>
      <c r="D3" s="11" t="str">
        <v>四维数值变化</v>
      </c>
      <c r="E3" s="11" t="str">
        <v>触发事件/结局</v>
      </c>
      <c r="H3" t="str">
        <v>Q：人数最大化；I：个体不可替代。</v>
      </c>
      <c r="K3" s="12"/>
    </row>
    <row r="4">
      <c r="K4" s="12"/>
      <c r="L4" s="11" t="str">
        <v>四维命名</v>
      </c>
    </row>
    <row r="5">
      <c r="B5" s="6" t="str">
        <v>四维数值</v>
      </c>
      <c r="H5" s="6" t="str">
        <v>S-P 偏袒自我圈层 vs 公共中立</v>
      </c>
    </row>
    <row r="6">
      <c r="B6" s="11" t="str">
        <v>0-100</v>
      </c>
      <c r="C6" s="11" t="str">
        <v>任意一条到0或100触发结局</v>
      </c>
      <c r="E6" s="11" t="str">
        <v>初始值50</v>
      </c>
      <c r="H6" t="str">
        <v>S：身份/血缘/自己优先；P：一视同仁。</v>
      </c>
      <c r="L6" s="11" t="str">
        <v>数量权重</v>
      </c>
      <c r="M6" s="11" t="str">
        <v>（0=个体不可替代，100=人数最大化）</v>
      </c>
    </row>
    <row r="7">
      <c r="B7" s="11" t="str">
        <v>传统王权要维持平衡以谋求生存</v>
      </c>
      <c r="L7" s="11" t="str">
        <v>立场偏置</v>
      </c>
      <c r="M7" s="11" t="str">
        <v>（0=公共中立，100=圈层偏袒）</v>
      </c>
    </row>
    <row r="8">
      <c r="H8" s="6" t="str">
        <v>F-N 长期结果主义 vs 当下止损主义</v>
      </c>
      <c r="L8" s="11" t="str">
        <v>时效策略</v>
      </c>
      <c r="M8" s="11" t="str">
        <v>（0=只看当下，100=押注长期）</v>
      </c>
    </row>
    <row r="9">
      <c r="B9" s="6" t="str">
        <v>卡牌数据结构</v>
      </c>
      <c r="H9" t="str">
        <v>F：为未来承担当下代价；N：不赌未来。</v>
      </c>
      <c r="L9" s="11" t="str">
        <v>规则黏性</v>
      </c>
      <c r="M9" s="11" t="str">
        <v>（0=为目的破规，100=程序优先）</v>
      </c>
    </row>
    <row r="10">
      <c r="B10" s="11" t="str">
        <v>题干、左右选项文案、左右数值变化、前置条件、后置跳转/权重</v>
      </c>
      <c r="H10" s="6"/>
    </row>
    <row r="11">
      <c r="H11" s="6" t="str">
        <v>R-B 规则服从 vs 规则突破</v>
      </c>
    </row>
    <row r="12">
      <c r="B12" s="6" t="str">
        <v>卡牌分类</v>
      </c>
      <c r="H12" t="str">
        <v>R：程序正义；B：为目的破规。</v>
      </c>
    </row>
    <row r="13">
      <c r="B13" s="11" t="str">
        <v>常规卡（讲故事了解信息）</v>
      </c>
      <c r="D13" s="11" t="str">
        <v>以一组判决为一个事件，总体有3-5个事件？</v>
      </c>
    </row>
    <row r="14">
      <c r="B14" s="11" t="str">
        <v>剧情卡（拉扯用）</v>
      </c>
      <c r="H14" s="6"/>
    </row>
    <row r="15">
      <c r="B15" s="11" t="str">
        <v>决策卡（与数值强关联）</v>
      </c>
    </row>
    <row r="16"/>
    <row r="17">
      <c r="B17" s="6" t="str">
        <v>结局与人格判定</v>
      </c>
    </row>
    <row r="18">
      <c r="B18" s="11" t="str">
        <v>即时：决策当下的结果</v>
      </c>
      <c r="H18" t="str">
        <v>每个选项给若干轴加减分：±4/±8/±12（小/中/大影响）。</v>
      </c>
    </row>
    <row r="19">
      <c r="B19" s="11" t="str">
        <v>长期倾向：价值观画像</v>
      </c>
    </row>
    <row r="20">
      <c r="H20" s="6" t="str">
        <v>人格判定（MBTI同构）</v>
      </c>
    </row>
    <row r="21">
      <c r="H21" t="str">
        <v>每轴看正负号决定字母（如 Q&gt;0 取Q，否则I）</v>
      </c>
    </row>
    <row r="22">
      <c r="H22" t="str">
        <v>|score| 表示倾向强度（弱/中/强）</v>
      </c>
    </row>
    <row r="23">
      <c r="H23" t="str">
        <v>最终可得 16 型（4轴），你要 8 型也行：固定一轴只做“修饰词”不进主类型。</v>
      </c>
    </row>
    <row r="24"/>
    <row r="25">
      <c r="H25" s="11" t="str">
        <v>每张卡最多影响 2 轴，避免一张卡把四轴全推偏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35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</cols>
  <sheetData>
    <row r="1">
      <c r="A1" s="11" t="str">
        <v>card_id</v>
      </c>
      <c r="B1" s="11" t="str">
        <v>title</v>
      </c>
      <c r="C1" s="11" t="str">
        <v>question_text</v>
      </c>
      <c r="D1" s="11" t="str">
        <v>left_text</v>
      </c>
      <c r="E1" s="11" t="str">
        <v>right_text</v>
      </c>
      <c r="F1" s="11" t="str">
        <v>left_data</v>
      </c>
      <c r="G1" s="11" t="str">
        <v>left_auth</v>
      </c>
      <c r="H1" s="11" t="str">
        <v>left_cause</v>
      </c>
      <c r="I1" s="11" t="str">
        <v>left_code</v>
      </c>
      <c r="J1" s="11" t="str">
        <v>right_data</v>
      </c>
      <c r="K1" s="11" t="str">
        <v>right_auth</v>
      </c>
      <c r="L1" s="11" t="str">
        <v>right_cause</v>
      </c>
      <c r="M1" s="11" t="str">
        <v>right_code</v>
      </c>
      <c r="N1" s="11" t="str">
        <v>tags</v>
      </c>
      <c r="O1" s="11" t="str">
        <v>rarity</v>
      </c>
      <c r="P1" s="14" t="str">
        <v>weight</v>
      </c>
      <c r="Q1" s="13" t="str">
        <v>unlock_condition</v>
      </c>
      <c r="R1" s="11" t="str">
        <v>once_only</v>
      </c>
      <c r="S1" s="13" t="str">
        <v>cooldown</v>
      </c>
      <c r="T1" s="13" t="str">
        <v>chain_id</v>
      </c>
      <c r="U1" s="13" t="str">
        <v>next_left</v>
      </c>
      <c r="V1" s="13" t="str">
        <v>next_right</v>
      </c>
      <c r="W1" s="11" t="str">
        <v>notes</v>
      </c>
      <c r="Y1" s="11"/>
      <c r="Z1" s="11"/>
      <c r="AA1" s="11"/>
      <c r="AB1" s="11"/>
    </row>
    <row r="2">
      <c r="A2" s="11" t="str">
        <v>C001</v>
      </c>
      <c r="B2" s="11" t="str">
        <v>医生与病人</v>
      </c>
      <c r="C2" s="15" t="str">
        <v>电车即将撞上五名重症病人，另一轨道上是一名顶尖外科医生。你杀谁？</v>
      </c>
      <c r="D2" s="11" t="str">
        <v>杀病人</v>
      </c>
      <c r="E2" s="11" t="str">
        <v>杀医生</v>
      </c>
      <c r="F2" s="11">
        <v>-12</v>
      </c>
      <c r="G2">
        <f>+8</f>
      </c>
      <c r="H2">
        <f>+10</f>
      </c>
      <c r="I2">
        <f>+4</f>
      </c>
      <c r="J2">
        <f>+12</f>
      </c>
      <c r="K2" s="11">
        <v>-8</v>
      </c>
      <c r="L2" s="11">
        <v>-10</v>
      </c>
      <c r="M2" s="11">
        <v>-4</v>
      </c>
      <c r="N2" s="11" t="str">
        <v>医疗,经典电车</v>
      </c>
      <c r="O2" s="11" t="str">
        <v>common</v>
      </c>
      <c r="P2" s="13" t="str">
        <v>-</v>
      </c>
      <c r="Q2" s="13" t="str">
        <v>-</v>
      </c>
      <c r="R2" s="13" t="str">
        <v>-</v>
      </c>
      <c r="S2" s="13" t="str">
        <v>-</v>
      </c>
      <c r="T2" s="13" t="str">
        <v>-</v>
      </c>
      <c r="U2" s="11" t="str">
        <v>-</v>
      </c>
      <c r="V2" s="11" t="str">
        <v>-</v>
      </c>
      <c r="W2" s="11" t="str">
        <v>教程期建议出现</v>
      </c>
    </row>
    <row r="3">
      <c r="P3" s="13"/>
      <c r="Q3" s="13"/>
    </row>
    <row r="4">
      <c r="P4" s="13"/>
      <c r="Q4" s="13"/>
    </row>
    <row r="5">
      <c r="P5" s="13"/>
      <c r="Q5" s="13"/>
    </row>
    <row r="6">
      <c r="P6" s="13"/>
      <c r="Q6" s="13"/>
    </row>
    <row r="7">
      <c r="P7" s="13"/>
      <c r="Q7" s="13"/>
    </row>
    <row r="8">
      <c r="P8" s="13"/>
      <c r="Q8" s="13"/>
    </row>
    <row r="9">
      <c r="B9" s="11"/>
      <c r="P9" s="13"/>
      <c r="Q9" s="13"/>
    </row>
    <row r="10">
      <c r="P10" s="13"/>
      <c r="Q10" s="13"/>
    </row>
    <row r="11">
      <c r="P11" s="13"/>
      <c r="Q11" s="13"/>
    </row>
    <row r="12">
      <c r="P12" s="13"/>
      <c r="Q12" s="13"/>
    </row>
    <row r="13">
      <c r="P13" s="13"/>
      <c r="Q13" s="13"/>
    </row>
    <row r="14">
      <c r="P14" s="13"/>
      <c r="Q14" s="13"/>
    </row>
    <row r="15">
      <c r="P15" s="13"/>
      <c r="Q15" s="13"/>
    </row>
    <row r="16">
      <c r="P16" s="13"/>
      <c r="Q16" s="13"/>
    </row>
    <row r="17">
      <c r="P17" s="13"/>
      <c r="Q17" s="13"/>
    </row>
    <row r="18">
      <c r="P18" s="13"/>
      <c r="Q18" s="13"/>
    </row>
    <row r="19">
      <c r="P19" s="13"/>
      <c r="Q19" s="13"/>
    </row>
    <row r="20">
      <c r="P20" s="13"/>
      <c r="Q20" s="13"/>
    </row>
    <row r="21">
      <c r="P21" s="13"/>
      <c r="Q21" s="13"/>
    </row>
    <row r="22">
      <c r="P22" s="13"/>
      <c r="Q22" s="13"/>
    </row>
    <row r="23">
      <c r="P23" s="13"/>
      <c r="Q23" s="13"/>
    </row>
    <row r="24">
      <c r="P24" s="13"/>
      <c r="Q24" s="13"/>
    </row>
    <row r="25">
      <c r="P25" s="13"/>
      <c r="Q25" s="13"/>
    </row>
    <row r="26">
      <c r="P26" s="13"/>
      <c r="Q26" s="13"/>
    </row>
    <row r="27">
      <c r="P27" s="13"/>
      <c r="Q27" s="13"/>
    </row>
    <row r="28">
      <c r="P28" s="13"/>
      <c r="Q28" s="13"/>
    </row>
    <row r="29">
      <c r="P29" s="13"/>
      <c r="Q29" s="13"/>
    </row>
    <row r="30">
      <c r="P30" s="13"/>
      <c r="Q30" s="13"/>
    </row>
    <row r="31">
      <c r="P31" s="13"/>
      <c r="Q31" s="13"/>
    </row>
    <row r="32">
      <c r="P32" s="13"/>
      <c r="Q32" s="13"/>
    </row>
    <row r="33">
      <c r="P33" s="13"/>
      <c r="Q33" s="13"/>
    </row>
    <row r="34">
      <c r="P34" s="13"/>
      <c r="Q34" s="13"/>
    </row>
    <row r="35">
      <c r="P35" s="13"/>
      <c r="Q35" s="13"/>
    </row>
    <row r="36">
      <c r="P36" s="13"/>
      <c r="Q36" s="13"/>
    </row>
    <row r="37">
      <c r="P37" s="13"/>
      <c r="Q37" s="13"/>
    </row>
    <row r="38">
      <c r="P38" s="13"/>
      <c r="Q38" s="13"/>
    </row>
    <row r="39">
      <c r="P39" s="13"/>
      <c r="Q39" s="13"/>
    </row>
    <row r="40">
      <c r="P40" s="13"/>
      <c r="Q40" s="13"/>
    </row>
    <row r="41">
      <c r="P41" s="13"/>
      <c r="Q41" s="13"/>
    </row>
    <row r="42">
      <c r="P42" s="13"/>
      <c r="Q42" s="13"/>
    </row>
    <row r="43">
      <c r="P43" s="13"/>
      <c r="Q43" s="13"/>
    </row>
    <row r="44">
      <c r="P44" s="13"/>
      <c r="Q44" s="13"/>
    </row>
    <row r="45">
      <c r="P45" s="13"/>
      <c r="Q45" s="13"/>
    </row>
    <row r="46">
      <c r="P46" s="13"/>
      <c r="Q46" s="13"/>
    </row>
    <row r="47">
      <c r="P47" s="13"/>
      <c r="Q47" s="13"/>
    </row>
    <row r="48">
      <c r="P48" s="13"/>
      <c r="Q48" s="13"/>
    </row>
    <row r="49">
      <c r="P49" s="13"/>
      <c r="Q49" s="13"/>
    </row>
    <row r="50">
      <c r="P50" s="13"/>
      <c r="Q50" s="13"/>
    </row>
    <row r="51">
      <c r="P51" s="13"/>
      <c r="Q51" s="13"/>
    </row>
    <row r="52">
      <c r="P52" s="13"/>
      <c r="Q52" s="13"/>
    </row>
    <row r="53">
      <c r="P53" s="13"/>
      <c r="Q53" s="13"/>
    </row>
    <row r="54">
      <c r="P54" s="13"/>
      <c r="Q54" s="13"/>
    </row>
    <row r="55">
      <c r="P55" s="13"/>
      <c r="Q55" s="13"/>
    </row>
    <row r="56">
      <c r="P56" s="13"/>
      <c r="Q56" s="13"/>
    </row>
    <row r="57">
      <c r="P57" s="13"/>
      <c r="Q57" s="13"/>
    </row>
    <row r="58">
      <c r="P58" s="13"/>
      <c r="Q58" s="13"/>
    </row>
    <row r="59">
      <c r="P59" s="13"/>
      <c r="Q59" s="13"/>
    </row>
    <row r="60">
      <c r="P60" s="13"/>
      <c r="Q60" s="13"/>
    </row>
    <row r="61">
      <c r="P61" s="13"/>
      <c r="Q61" s="13"/>
    </row>
    <row r="62">
      <c r="P62" s="13"/>
      <c r="Q62" s="13"/>
    </row>
    <row r="63">
      <c r="P63" s="13"/>
      <c r="Q63" s="13"/>
    </row>
    <row r="64">
      <c r="P64" s="13"/>
      <c r="Q64" s="13"/>
    </row>
    <row r="65">
      <c r="P65" s="13"/>
      <c r="Q65" s="13"/>
    </row>
    <row r="66">
      <c r="P66" s="13"/>
      <c r="Q66" s="13"/>
    </row>
    <row r="67">
      <c r="P67" s="13"/>
      <c r="Q67" s="13"/>
    </row>
    <row r="68">
      <c r="P68" s="13"/>
      <c r="Q68" s="13"/>
    </row>
    <row r="69">
      <c r="P69" s="13"/>
      <c r="Q69" s="13"/>
    </row>
    <row r="70">
      <c r="P70" s="13"/>
      <c r="Q70" s="13"/>
    </row>
    <row r="71">
      <c r="P71" s="13"/>
      <c r="Q71" s="13"/>
    </row>
    <row r="72">
      <c r="P72" s="13"/>
      <c r="Q72" s="13"/>
    </row>
    <row r="73">
      <c r="P73" s="13"/>
      <c r="Q73" s="13"/>
    </row>
    <row r="74">
      <c r="P74" s="13"/>
      <c r="Q74" s="13"/>
    </row>
    <row r="75">
      <c r="P75" s="13"/>
      <c r="Q75" s="13"/>
    </row>
    <row r="76">
      <c r="P76" s="13"/>
      <c r="Q76" s="13"/>
    </row>
    <row r="77">
      <c r="P77" s="13"/>
      <c r="Q77" s="13"/>
    </row>
    <row r="78">
      <c r="P78" s="13"/>
      <c r="Q78" s="13"/>
    </row>
    <row r="79">
      <c r="P79" s="13"/>
      <c r="Q79" s="13"/>
    </row>
    <row r="80">
      <c r="P80" s="13"/>
      <c r="Q80" s="13"/>
    </row>
    <row r="81">
      <c r="P81" s="13"/>
      <c r="Q81" s="13"/>
    </row>
    <row r="82">
      <c r="P82" s="13"/>
      <c r="Q82" s="13"/>
    </row>
    <row r="83">
      <c r="P83" s="13"/>
      <c r="Q83" s="13"/>
    </row>
    <row r="84">
      <c r="P84" s="13"/>
      <c r="Q84" s="13"/>
    </row>
    <row r="85">
      <c r="P85" s="13"/>
      <c r="Q85" s="13"/>
    </row>
    <row r="86">
      <c r="P86" s="13"/>
      <c r="Q86" s="13"/>
    </row>
    <row r="87">
      <c r="P87" s="13"/>
      <c r="Q87" s="13"/>
    </row>
    <row r="88">
      <c r="P88" s="13"/>
      <c r="Q88" s="13"/>
    </row>
    <row r="89">
      <c r="P89" s="13"/>
      <c r="Q89" s="13"/>
    </row>
    <row r="90">
      <c r="P90" s="13"/>
      <c r="Q90" s="13"/>
    </row>
    <row r="91">
      <c r="P91" s="13"/>
      <c r="Q91" s="13"/>
    </row>
    <row r="92">
      <c r="P92" s="13"/>
      <c r="Q92" s="13"/>
    </row>
    <row r="93">
      <c r="P93" s="13"/>
      <c r="Q93" s="13"/>
    </row>
    <row r="94">
      <c r="P94" s="13"/>
      <c r="Q94" s="13"/>
    </row>
    <row r="95">
      <c r="P95" s="13"/>
      <c r="Q95" s="13"/>
    </row>
    <row r="96">
      <c r="P96" s="13"/>
      <c r="Q96" s="13"/>
    </row>
    <row r="97">
      <c r="P97" s="13"/>
      <c r="Q97" s="13"/>
    </row>
    <row r="98">
      <c r="P98" s="13"/>
      <c r="Q98" s="13"/>
    </row>
    <row r="99">
      <c r="P99" s="13"/>
      <c r="Q99" s="13"/>
    </row>
    <row r="100">
      <c r="P100" s="13"/>
      <c r="Q100" s="13"/>
    </row>
    <row r="101">
      <c r="P101" s="13"/>
      <c r="Q101" s="13"/>
    </row>
    <row r="102">
      <c r="P102" s="13"/>
      <c r="Q102" s="13"/>
    </row>
    <row r="103">
      <c r="P103" s="13"/>
      <c r="Q103" s="13"/>
    </row>
    <row r="104">
      <c r="P104" s="13"/>
      <c r="Q104" s="13"/>
    </row>
    <row r="105">
      <c r="P105" s="13"/>
      <c r="Q105" s="13"/>
    </row>
    <row r="106">
      <c r="P106" s="13"/>
      <c r="Q106" s="13"/>
    </row>
    <row r="107">
      <c r="P107" s="13"/>
      <c r="Q107" s="13"/>
    </row>
    <row r="108">
      <c r="P108" s="13"/>
      <c r="Q108" s="13"/>
    </row>
    <row r="109">
      <c r="P109" s="13"/>
      <c r="Q109" s="13"/>
    </row>
    <row r="110">
      <c r="P110" s="13"/>
      <c r="Q110" s="13"/>
    </row>
    <row r="111">
      <c r="P111" s="13"/>
      <c r="Q111" s="13"/>
    </row>
    <row r="112">
      <c r="P112" s="13"/>
      <c r="Q112" s="13"/>
    </row>
    <row r="113">
      <c r="P113" s="13"/>
      <c r="Q113" s="13"/>
    </row>
    <row r="114">
      <c r="P114" s="13"/>
      <c r="Q114" s="13"/>
    </row>
    <row r="115">
      <c r="P115" s="13"/>
      <c r="Q115" s="13"/>
    </row>
    <row r="116">
      <c r="P116" s="13"/>
      <c r="Q116" s="13"/>
    </row>
    <row r="117">
      <c r="P117" s="13"/>
      <c r="Q117" s="13"/>
    </row>
    <row r="118">
      <c r="P118" s="13"/>
      <c r="Q118" s="13"/>
    </row>
    <row r="119">
      <c r="P119" s="13"/>
      <c r="Q119" s="13"/>
    </row>
    <row r="120">
      <c r="P120" s="13"/>
      <c r="Q120" s="13"/>
    </row>
    <row r="121">
      <c r="P121" s="13"/>
      <c r="Q121" s="13"/>
    </row>
    <row r="122">
      <c r="P122" s="13"/>
      <c r="Q122" s="13"/>
    </row>
    <row r="123">
      <c r="P123" s="13"/>
      <c r="Q123" s="13"/>
    </row>
    <row r="124">
      <c r="P124" s="13"/>
      <c r="Q124" s="13"/>
    </row>
    <row r="125">
      <c r="P125" s="13"/>
      <c r="Q125" s="13"/>
    </row>
    <row r="126">
      <c r="P126" s="13"/>
      <c r="Q126" s="13"/>
    </row>
    <row r="127">
      <c r="P127" s="13"/>
      <c r="Q127" s="13"/>
    </row>
    <row r="128">
      <c r="P128" s="13"/>
      <c r="Q128" s="13"/>
    </row>
    <row r="129">
      <c r="P129" s="13"/>
      <c r="Q129" s="13"/>
    </row>
    <row r="130">
      <c r="P130" s="13"/>
      <c r="Q130" s="13"/>
    </row>
    <row r="131">
      <c r="P131" s="13"/>
      <c r="Q131" s="13"/>
    </row>
    <row r="132">
      <c r="P132" s="13"/>
      <c r="Q132" s="13"/>
    </row>
    <row r="133">
      <c r="P133" s="13"/>
      <c r="Q133" s="13"/>
    </row>
    <row r="134">
      <c r="P134" s="13"/>
      <c r="Q134" s="13"/>
    </row>
    <row r="135">
      <c r="P135" s="13"/>
      <c r="Q135" s="13"/>
    </row>
    <row r="136">
      <c r="P136" s="13"/>
      <c r="Q136" s="13"/>
    </row>
    <row r="137">
      <c r="P137" s="13"/>
      <c r="Q137" s="13"/>
    </row>
    <row r="138">
      <c r="P138" s="13"/>
      <c r="Q138" s="13"/>
    </row>
    <row r="139">
      <c r="P139" s="13"/>
      <c r="Q139" s="13"/>
    </row>
    <row r="140">
      <c r="P140" s="13"/>
      <c r="Q140" s="13"/>
    </row>
    <row r="141">
      <c r="P141" s="13"/>
      <c r="Q141" s="13"/>
    </row>
    <row r="142">
      <c r="P142" s="13"/>
      <c r="Q142" s="13"/>
    </row>
    <row r="143">
      <c r="P143" s="13"/>
      <c r="Q143" s="13"/>
    </row>
    <row r="144">
      <c r="P144" s="13"/>
      <c r="Q144" s="13"/>
    </row>
    <row r="145">
      <c r="P145" s="13"/>
      <c r="Q145" s="13"/>
    </row>
    <row r="146">
      <c r="P146" s="13"/>
      <c r="Q146" s="13"/>
    </row>
    <row r="147">
      <c r="P147" s="13"/>
      <c r="Q147" s="13"/>
    </row>
    <row r="148">
      <c r="P148" s="13"/>
      <c r="Q148" s="13"/>
    </row>
    <row r="149">
      <c r="P149" s="13"/>
      <c r="Q149" s="13"/>
    </row>
    <row r="150">
      <c r="P150" s="13"/>
      <c r="Q150" s="13"/>
    </row>
    <row r="151">
      <c r="P151" s="13"/>
      <c r="Q151" s="13"/>
    </row>
    <row r="152">
      <c r="P152" s="13"/>
      <c r="Q152" s="13"/>
    </row>
    <row r="153">
      <c r="P153" s="13"/>
      <c r="Q153" s="13"/>
    </row>
    <row r="154">
      <c r="P154" s="13"/>
      <c r="Q154" s="13"/>
    </row>
    <row r="155">
      <c r="P155" s="13"/>
      <c r="Q155" s="13"/>
    </row>
    <row r="156">
      <c r="P156" s="13"/>
      <c r="Q156" s="13"/>
    </row>
    <row r="157">
      <c r="P157" s="13"/>
      <c r="Q157" s="13"/>
    </row>
    <row r="158">
      <c r="P158" s="13"/>
      <c r="Q158" s="13"/>
    </row>
    <row r="159">
      <c r="P159" s="13"/>
      <c r="Q159" s="13"/>
    </row>
    <row r="160">
      <c r="P160" s="13"/>
      <c r="Q160" s="13"/>
    </row>
    <row r="161">
      <c r="P161" s="13"/>
      <c r="Q161" s="13"/>
    </row>
    <row r="162">
      <c r="P162" s="13"/>
      <c r="Q162" s="13"/>
    </row>
    <row r="163">
      <c r="P163" s="13"/>
      <c r="Q163" s="13"/>
    </row>
    <row r="164">
      <c r="P164" s="13"/>
      <c r="Q164" s="13"/>
    </row>
    <row r="165">
      <c r="P165" s="13"/>
      <c r="Q165" s="13"/>
    </row>
    <row r="166">
      <c r="P166" s="13"/>
      <c r="Q166" s="13"/>
    </row>
    <row r="167">
      <c r="P167" s="13"/>
      <c r="Q167" s="13"/>
    </row>
    <row r="168">
      <c r="P168" s="13"/>
      <c r="Q168" s="13"/>
    </row>
    <row r="169">
      <c r="P169" s="13"/>
      <c r="Q169" s="13"/>
    </row>
    <row r="170">
      <c r="P170" s="13"/>
      <c r="Q170" s="13"/>
    </row>
    <row r="171">
      <c r="P171" s="13"/>
      <c r="Q171" s="13"/>
    </row>
    <row r="172">
      <c r="P172" s="13"/>
      <c r="Q172" s="13"/>
    </row>
    <row r="173">
      <c r="P173" s="13"/>
      <c r="Q173" s="13"/>
    </row>
    <row r="174">
      <c r="P174" s="13"/>
      <c r="Q174" s="13"/>
    </row>
    <row r="175">
      <c r="P175" s="13"/>
      <c r="Q175" s="13"/>
    </row>
    <row r="176">
      <c r="P176" s="13"/>
      <c r="Q176" s="13"/>
    </row>
    <row r="177">
      <c r="P177" s="13"/>
      <c r="Q177" s="13"/>
    </row>
    <row r="178">
      <c r="P178" s="13"/>
      <c r="Q178" s="13"/>
    </row>
    <row r="179">
      <c r="P179" s="13"/>
      <c r="Q179" s="13"/>
    </row>
    <row r="180">
      <c r="P180" s="13"/>
      <c r="Q180" s="13"/>
    </row>
    <row r="181">
      <c r="P181" s="13"/>
      <c r="Q181" s="13"/>
    </row>
    <row r="182">
      <c r="P182" s="13"/>
      <c r="Q182" s="13"/>
    </row>
    <row r="183">
      <c r="P183" s="13"/>
      <c r="Q183" s="13"/>
    </row>
    <row r="184">
      <c r="P184" s="13"/>
      <c r="Q184" s="13"/>
    </row>
    <row r="185">
      <c r="P185" s="13"/>
      <c r="Q185" s="13"/>
    </row>
    <row r="186">
      <c r="P186" s="13"/>
      <c r="Q186" s="13"/>
    </row>
    <row r="187">
      <c r="P187" s="13"/>
      <c r="Q187" s="13"/>
    </row>
    <row r="188">
      <c r="P188" s="13"/>
      <c r="Q188" s="13"/>
    </row>
    <row r="189">
      <c r="P189" s="13"/>
      <c r="Q189" s="13"/>
    </row>
    <row r="190">
      <c r="P190" s="13"/>
      <c r="Q190" s="13"/>
    </row>
    <row r="191">
      <c r="P191" s="13"/>
      <c r="Q191" s="13"/>
    </row>
    <row r="192">
      <c r="P192" s="13"/>
      <c r="Q192" s="13"/>
    </row>
    <row r="193">
      <c r="P193" s="13"/>
      <c r="Q193" s="13"/>
    </row>
    <row r="194">
      <c r="P194" s="13"/>
      <c r="Q194" s="13"/>
    </row>
    <row r="195">
      <c r="P195" s="13"/>
      <c r="Q195" s="13"/>
    </row>
    <row r="196">
      <c r="P196" s="13"/>
      <c r="Q196" s="13"/>
    </row>
    <row r="197">
      <c r="P197" s="13"/>
      <c r="Q197" s="13"/>
    </row>
    <row r="198">
      <c r="P198" s="13"/>
      <c r="Q198" s="13"/>
    </row>
    <row r="199">
      <c r="P199" s="13"/>
      <c r="Q199" s="13"/>
    </row>
    <row r="200">
      <c r="P200" s="13"/>
      <c r="Q200" s="13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/>
    <row r="2">
      <c r="B2" t="str">
        <v>A. 先算每轴方向与强度</v>
      </c>
    </row>
    <row r="3">
      <c r="B3" t="str">
        <v>方向：&gt;=50 为高侧，&lt;50 为低侧</v>
      </c>
    </row>
    <row r="4">
      <c r="B4" t="str">
        <v>强度：strength = |score - 50| / 50（0~1）</v>
      </c>
    </row>
    <row r="5"/>
    <row r="6">
      <c r="B6" s="16" t="str">
        <v>B. 用 3 轴定“主类型”，第 4 轴做“修饰”</v>
      </c>
    </row>
    <row r="7">
      <c r="B7" s="11" t="str">
        <v>为了 8 型：主类型用 Q/S/R（2^3=8），T 只做副标题与文案风格。</v>
      </c>
    </row>
    <row r="8">
      <c r="B8" s="11" t="str">
        <v>bitQ = Q&gt;=50 ? 1 : 0</v>
      </c>
    </row>
    <row r="9">
      <c r="B9" s="11" t="str">
        <v>bitS = S&gt;=50 ? 1 : 0</v>
      </c>
    </row>
    <row r="10">
      <c r="B10" s="11" t="str">
        <v>bitR = R&gt;=50 ? 1 : 0</v>
      </c>
    </row>
    <row r="11">
      <c r="B11" s="11" t="str">
        <v>typeIndex = bitQ*4 + bitS*2 + bitR （0~7）</v>
      </c>
    </row>
    <row r="12"/>
    <row r="13">
      <c r="B13" s="11" t="str">
        <v>C. 置信度（便于传播文案）</v>
      </c>
    </row>
    <row r="14">
      <c r="B14" s="11" t="str">
        <v>confidence = 0.4*|Q-50| + 0.3*|S-50| + 0.3*|R-50| （0~50）</v>
      </c>
    </row>
    <row r="15">
      <c r="B15" s="11" t="str">
        <v>0~16：摇摆型</v>
      </c>
    </row>
    <row r="16">
      <c r="B16" s="11" t="str">
        <v>17~33：清晰型</v>
      </c>
    </row>
    <row r="17">
      <c r="B17" s="11" t="str">
        <v>34~50：极化型（最适合“爆款分享卡”）</v>
      </c>
    </row>
    <row r="18">
      <c r="B18" s="11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27"/>
    <col collapsed="false" customWidth="true" hidden="false" max="5" min="5" style="0" width="10"/>
    <col collapsed="false" customWidth="true" hidden="false" max="6" min="6" style="0" width="9"/>
    <col collapsed="false" customWidth="true" hidden="false" max="8" min="8" style="0" width="34"/>
    <col collapsed="false" customWidth="true" hidden="false" max="9" min="9" style="0" width="50"/>
    <col collapsed="false" customWidth="true" hidden="false" max="10" min="10" style="0" width="32"/>
  </cols>
  <sheetData>
    <row r="1">
      <c r="A1" s="18" t="str">
        <v>type_code</v>
      </c>
      <c r="B1" s="18" t="str">
        <v>type_name_cn</v>
      </c>
      <c r="C1" s="18" t="str">
        <v>type_name_en</v>
      </c>
      <c r="D1" s="18" t="str">
        <v>slogan</v>
      </c>
      <c r="E1" s="18" t="str">
        <v>hidden_name_en</v>
      </c>
      <c r="F1" s="18" t="str">
        <v>hidden_name_cn</v>
      </c>
      <c r="G1" s="18" t="str">
        <v>match_tag</v>
      </c>
      <c r="H1" s="18" t="str">
        <v>subline</v>
      </c>
      <c r="I1" s="18" t="str">
        <v>quickread_body</v>
      </c>
      <c r="J1" s="18" t="str">
        <v>share_text</v>
      </c>
    </row>
    <row r="2">
      <c r="A2" s="17" t="str">
        <v>QSFR</v>
      </c>
      <c r="B2" s="17" t="str">
        <v>表格菩萨</v>
      </c>
      <c r="C2" s="17" t="str">
        <v>LEDG-ER</v>
      </c>
      <c r="D2" s="17" t="str">
        <v>救人要救，留痕也要留。</v>
      </c>
      <c r="E2" s="17" t="str">
        <v>AUDIT</v>
      </c>
      <c r="F2" s="17" t="str">
        <v>审计体</v>
      </c>
      <c r="G2" s="17" t="str">
        <v>流程与增益双线程已接管</v>
      </c>
      <c r="H2" s="17" t="str">
        <v>主打一个：心软但不失控。</v>
      </c>
      <c r="I2" s="17" t="str">
        <v>你属于“既要又要”里的稀有品种：既要多救人，也要把每一步写进日志，确保回头查账时扛得住。你不会被热搜带着跑，也不会被眼泪瞬间劫持。别人眼里你像冷静机器，但熟悉你的人知道，你做的每个冷选择都在给更多人留活路。</v>
      </c>
      <c r="J2" s="17" t="str">
        <v>我测出LEDG-ER：可追责地心软。</v>
      </c>
    </row>
    <row r="3">
      <c r="A3" s="17" t="str">
        <v>QSFB</v>
      </c>
      <c r="B3" s="17" t="str">
        <v>越权救火王</v>
      </c>
      <c r="C3" s="17" t="str">
        <v>OVR-RIDE</v>
      </c>
      <c r="D3" s="17" t="str">
        <v>先抢命，流程回头补。</v>
      </c>
      <c r="E3" s="17" t="str">
        <v>PATCH</v>
      </c>
      <c r="F3" s="17" t="str">
        <v>补丁体</v>
      </c>
      <c r="G3" s="17" t="str">
        <v>结果优先模块已接管</v>
      </c>
      <c r="H3" s="17" t="str">
        <v>主打一个：出事先上人，不先上会。</v>
      </c>
      <c r="I3" s="17" t="str">
        <v>你是现场派，看到系统冒烟第一反应不是翻手册，而是先把人拽出来。你很清楚越权有代价，但你更清楚拖延也会死人。你愿意当那个先被骂的人，因为在你的逻辑里，检讨可以补，命补不了。这种性格很容易两极评价，但也最容易在危机里立功。</v>
      </c>
      <c r="J3" s="17" t="str">
        <v>我测出OVR-RIDE：先救命，再解释。</v>
      </c>
    </row>
    <row r="4">
      <c r="A4" s="17" t="str">
        <v>QSNR</v>
      </c>
      <c r="B4" s="17" t="str">
        <v>稳活控</v>
      </c>
      <c r="C4" s="17" t="str">
        <v>SAFE-RUN</v>
      </c>
      <c r="D4" s="17" t="str">
        <v>不赌未来，只做确定生还。</v>
      </c>
      <c r="E4" s="17" t="str">
        <v>LOCK</v>
      </c>
      <c r="F4" s="17" t="str">
        <v>风控体</v>
      </c>
      <c r="G4" s="17" t="str">
        <v>确定性生还模式已接管</v>
      </c>
      <c r="H4" s="17" t="str">
        <v>主打一个：把风险按在地上打。</v>
      </c>
      <c r="I4" s="17" t="str">
        <v>你做决策像关闸：先排掉不确定，再选能稳住盘面的方案。你不迷信“也许会更好”的故事，偏爱“现在就能确认”的结果。有人会觉得你不够浪漫，但在灾难现场，你这种人就是大家嘴里的定海针。你不一定最耀眼，却经常是最后负责收场的人。</v>
      </c>
      <c r="J4" s="17" t="str">
        <v>我测出SAFE-RUN：不赌命，只保命。</v>
      </c>
    </row>
    <row r="5">
      <c r="A5" s="17" t="str">
        <v>QSNB</v>
      </c>
      <c r="B5" s="17" t="str">
        <v>止损狠人</v>
      </c>
      <c r="C5" s="17" t="str">
        <v>CUT-OFF</v>
      </c>
      <c r="D5" s="17" t="str">
        <v>先止血，后讲理。</v>
      </c>
      <c r="E5" s="17" t="str">
        <v>EMER</v>
      </c>
      <c r="F5" s="17" t="str">
        <v>急救体</v>
      </c>
      <c r="G5" s="17" t="str">
        <v>当下止损引擎已接管</v>
      </c>
      <c r="H5" s="17" t="str">
        <v>主打一个：把“现在”抬到最高优先级。</v>
      </c>
      <c r="I5" s="17" t="str">
        <v>你对危机的态度非常直接：先让损失停下来，别把时间浪费在漂亮口号上。你能接受不完美的方案，只要它能立刻减少伤亡。你不会被“以后再优化”轻易说服，因为你知道很多人等不到以后。你是那种会被说强硬，但队伍最离不开的“硬核灭火器”。</v>
      </c>
      <c r="J5" s="17" t="str">
        <v>我测出CUT-OFF：先活着，别内耗。</v>
      </c>
    </row>
    <row r="6">
      <c r="A6" s="17" t="str">
        <v>QPFR</v>
      </c>
      <c r="B6" s="17" t="str">
        <v>公域策士</v>
      </c>
      <c r="C6" s="17" t="str">
        <v>FAIR-PLAN</v>
      </c>
      <c r="D6" s="17" t="str">
        <v>一视同仁，长期负责。</v>
      </c>
      <c r="E6" s="17" t="str">
        <v>CIVIC</v>
      </c>
      <c r="F6" s="17" t="str">
        <v>公域体</v>
      </c>
      <c r="G6" s="17" t="str">
        <v>公平治理协议已接管</v>
      </c>
      <c r="H6" s="17" t="str">
        <v>主打一个：不看关系，只看公共后果。</v>
      </c>
      <c r="I6" s="17" t="str">
        <v>你很少把“谁是自己人”放进决策核心，更看重规则在公共层面的可复制性。你愿意为长期稳定承受当下争议，也愿意解释为什么公平不等于冷漠。你不追求讨好所有人，而是努力让系统在下一次危机里依然站得住。你是组织里最像“制度设计师”的那类人。</v>
      </c>
      <c r="J6" s="17" t="str">
        <v>我测出FAIR-PLAN：公平不是口号，是方案。</v>
      </c>
    </row>
    <row r="7">
      <c r="A7" s="17" t="str">
        <v>QPFB</v>
      </c>
      <c r="B7" s="17" t="str">
        <v>破壁改命人</v>
      </c>
      <c r="C7" s="17" t="str">
        <v>BREAK-UP</v>
      </c>
      <c r="D7" s="17" t="str">
        <v>老规矩不救人，就改规矩。</v>
      </c>
      <c r="E7" s="17" t="str">
        <v>REFORM</v>
      </c>
      <c r="F7" s="17" t="str">
        <v>改造体</v>
      </c>
      <c r="G7" s="17" t="str">
        <v>破规优化逻辑已接管</v>
      </c>
      <c r="H7" s="17" t="str">
        <v>主打一个：敢拆旧墙，也敢背旧账。</v>
      </c>
      <c r="I7" s="17" t="str">
        <v>你对“这一直是流程”这句话天生免疫。只要旧规则开始制造额外伤亡，你就会主动找缝、补洞、甚至直接重写。你并不享受冲突，但愿意承担冲突成本。你这种人常在改革初期被质疑，在结果落地后被追着引用。你不是叛逆，你是把结果当KPI的人。</v>
      </c>
      <c r="J7" s="17" t="str">
        <v>我测出BREAK-UP：规则不救人，就重写规则。</v>
      </c>
    </row>
    <row r="8">
      <c r="A8" s="17" t="str">
        <v>QPNR</v>
      </c>
      <c r="B8" s="17" t="str">
        <v>冷静仲裁官</v>
      </c>
      <c r="C8" s="17" t="str">
        <v>CALM-LAW</v>
      </c>
      <c r="D8" s="17" t="str">
        <v>不站队，不上头，照章救命。</v>
      </c>
      <c r="E8" s="17" t="str">
        <v>JUDGE</v>
      </c>
      <c r="F8" s="17" t="str">
        <v>裁定体</v>
      </c>
      <c r="G8" s="17" t="str">
        <v>中立执行核心已接管</v>
      </c>
      <c r="H8" s="17" t="str">
        <v>主打一个：情绪静音，判断在线。</v>
      </c>
      <c r="I8" s="17" t="str">
        <v>你在冲突里很少被带节奏，擅长把情绪噪音和事实证据拆开看。你不偏熟人，也不迷信激情叙事，而是把“可追责、可复盘、可执行”放在前面。别人可能觉得你冷，但团队最信赖的往往就是你这种稳定输出。你像一把尺，慢慢量，却很少量错。</v>
      </c>
      <c r="J8" s="17" t="str">
        <v>我测出CALM-LAW：上头可以，先下头再决策。</v>
      </c>
    </row>
    <row r="9">
      <c r="A9" s="17" t="str">
        <v>QPNB</v>
      </c>
      <c r="B9" s="17" t="str">
        <v>现实灭火队</v>
      </c>
      <c r="C9" s="17" t="str">
        <v>NOW-FIX</v>
      </c>
      <c r="D9" s="17" t="str">
        <v>先把火灭了，剩下再审。</v>
      </c>
      <c r="E9" s="17" t="str">
        <v>FIRE</v>
      </c>
      <c r="F9" s="17" t="str">
        <v>处突体</v>
      </c>
      <c r="G9" s="17" t="str">
        <v>现场优先协议已接管</v>
      </c>
      <c r="H9" s="17" t="str">
        <v>主打一个：可执行比可感动更重要。</v>
      </c>
      <c r="I9" s="17" t="str">
        <v>你判断问题的方式很务实：现在能做什么、马上能救谁、立刻能降多少风险。你不太迷恋道德表演，也不把“绝对正确”当刚需。你更像一个现场总指挥，先控灾，再补文书。你会被一些人说“太现实”，但在生死题里，现实常常是最有善意的策略。</v>
      </c>
      <c r="J9" s="17" t="str">
        <v>我测出NOW-FIX：先灭火，再辩论。</v>
      </c>
    </row>
    <row r="10">
      <c r="A10" s="17" t="str">
        <v>ISFR</v>
      </c>
      <c r="B10" s="17" t="str">
        <v>护短守序人</v>
      </c>
      <c r="C10" s="17" t="str">
        <v>CLAN-RULE</v>
      </c>
      <c r="D10" s="17" t="str">
        <v>我会偏心，但不乱来。</v>
      </c>
      <c r="E10" s="17" t="str">
        <v>KIN-LAW</v>
      </c>
      <c r="F10" s="17" t="str">
        <v>亲缘法体</v>
      </c>
      <c r="G10" s="17" t="str">
        <v>关系义务与程序并行已接管</v>
      </c>
      <c r="H10" s="17" t="str">
        <v>主打一个：护人也护边界。</v>
      </c>
      <c r="I10" s="17" t="str">
        <v>你承认关系的重量，也承认制度的必要。你不会假装自己完全中立，但你会努力把偏心控制在可承担、可解释的范围里。你愿意为自己选择负责，而不是把责任甩给情绪。你这类人最难得的地方，是在“有温度”和“有边界”之间，真的能同时做到。</v>
      </c>
      <c r="J10" s="17" t="str">
        <v>我测出CLAN-RULE：护短，但不胡来。</v>
      </c>
    </row>
    <row r="11">
      <c r="A11" s="17" t="str">
        <v>ISFB</v>
      </c>
      <c r="B11" s="17" t="str">
        <v>护短开挂仔</v>
      </c>
      <c r="C11" s="17" t="str">
        <v>CLAN-HACK</v>
      </c>
      <c r="D11" s="17" t="str">
        <v>自己人优先，规矩靠后。</v>
      </c>
      <c r="E11" s="17" t="str">
        <v>BIAS</v>
      </c>
      <c r="F11" s="17" t="str">
        <v>偏爱体</v>
      </c>
      <c r="G11" s="17" t="str">
        <v>关系优先越权模式已接管</v>
      </c>
      <c r="H11" s="17" t="str">
        <v>主打一个：双标我认，后果也认。</v>
      </c>
      <c r="I11" s="17" t="str">
        <v>你不掩饰自己的立场：在你心里，关系不是噪音，而是责任。真到关键时刻，你会为了在乎的人打破模板、顶着骂名、硬扛后果。你不觉得这叫不公平，你觉得这叫真实。你这种类型很容易被贴标签，但也最容易在“要不要救我”这一秒，给出毫不犹豫的答案。</v>
      </c>
      <c r="J11" s="17" t="str">
        <v>我测出CLAN-HACK：我双标，但我敢负责。</v>
      </c>
    </row>
    <row r="12">
      <c r="A12" s="17" t="str">
        <v>ISNR</v>
      </c>
      <c r="B12" s="17" t="str">
        <v>小家保命派</v>
      </c>
      <c r="C12" s="17" t="str">
        <v>KIN-SAFE</v>
      </c>
      <c r="D12" s="17" t="str">
        <v>先护眼前人，别赌大远景。</v>
      </c>
      <c r="E12" s="17" t="str">
        <v>SHELTER</v>
      </c>
      <c r="F12" s="17" t="str">
        <v>庇护体</v>
      </c>
      <c r="G12" s="17" t="str">
        <v>小圈稳态模块已接管</v>
      </c>
      <c r="H12" s="17" t="str">
        <v>主打一个：先把这盏灯保住。</v>
      </c>
      <c r="I12" s="17" t="str">
        <v>你是“具体的人优先”那一派，不太吃宏大叙事。你更相信能握在手里的承诺，而不是远方可能兑现的收益。你做选择时会优先考虑关系责任和当下安全，不愿把亲近的人拿去做概率实验。你看起来保守，但在很多人心里，你是最可靠的“不会放手的人”。</v>
      </c>
      <c r="J12" s="17" t="str">
        <v>我测出KIN-SAFE：先保眼前这一个。</v>
      </c>
    </row>
    <row r="13">
      <c r="A13" s="17" t="str">
        <v>ISNB</v>
      </c>
      <c r="B13" s="17" t="str">
        <v>圈内急救包</v>
      </c>
      <c r="C13" s="17" t="str">
        <v>KIN-RUSH</v>
      </c>
      <c r="D13" s="17" t="str">
        <v>谁是自己人，谁先上船。</v>
      </c>
      <c r="E13" s="17" t="str">
        <v>RUSH</v>
      </c>
      <c r="F13" s="17" t="str">
        <v>抢救体</v>
      </c>
      <c r="G13" s="17" t="str">
        <v>关系止损引擎已接管</v>
      </c>
      <c r="H13" s="17" t="str">
        <v>主打一个：不装客观，先救熟人。</v>
      </c>
      <c r="I13" s="17" t="str">
        <v>你判断生死题的第一步不是计算总量，而是确认“谁是我的责任圈”。你反应快、下手狠，愿意在混乱里直接拍板，不把时间花在自我说服上。有人会觉得你太主观，但你从不假装无私。你的逻辑一直很稳定：如果连在乎的人都护不住，谈什么价值观都像空话。</v>
      </c>
      <c r="J13" s="17" t="str">
        <v>我测出KIN-RUSH：不装中立，先保自己人。</v>
      </c>
    </row>
    <row r="14">
      <c r="A14" s="17" t="str">
        <v>IPFR</v>
      </c>
      <c r="B14" s="17" t="str">
        <v>个体理性党</v>
      </c>
      <c r="C14" s="17" t="str">
        <v>SOUL-LOG</v>
      </c>
      <c r="D14" s="17" t="str">
        <v>每个人都不是可替换零件。</v>
      </c>
      <c r="E14" s="17" t="str">
        <v>DIGNITY</v>
      </c>
      <c r="F14" s="17" t="str">
        <v>尊严体</v>
      </c>
      <c r="G14" s="17" t="str">
        <v>个体价值协议已接管</v>
      </c>
      <c r="H14" s="17" t="str">
        <v>主打一个：尊重个体，也尊重长期。</v>
      </c>
      <c r="I14" s="17" t="str">
        <v>你对“把人当数字”这件事天生警惕。你会优先看见具体个体的不可替代性，同时又愿意承担长期后果，不做短期情绪消费。你不是单纯心软，也不是冷算法，而是在两者之间建了一座桥。你这种人格在团队里很稀缺：既有人味，也有结构感。</v>
      </c>
      <c r="J14" s="17" t="str">
        <v>我测出SOUL-LOG：人命不是报表格子。</v>
      </c>
    </row>
    <row r="15">
      <c r="A15" s="17" t="str">
        <v>IPFB</v>
      </c>
      <c r="B15" s="17" t="str">
        <v>心软破局者</v>
      </c>
      <c r="C15" s="17" t="str">
        <v>SOFT-BRK</v>
      </c>
      <c r="D15" s="17" t="str">
        <v>规则写给平均值，人命不是。</v>
      </c>
      <c r="E15" s="17" t="str">
        <v>MERCY</v>
      </c>
      <c r="F15" s="17" t="str">
        <v>恻隐体</v>
      </c>
      <c r="G15" s="17" t="str">
        <v>个体优先越线模式已接管</v>
      </c>
      <c r="H15" s="17" t="str">
        <v>主打一个：先看人，再看条款。</v>
      </c>
      <c r="I15" s="17" t="str">
        <v>你最强的能力是“看见具体的人”。当所有人都在讲原则时，你能迅速识别谁会被制度缝隙吞掉，并且愿意出手改写结局。你知道越线有代价，也知道不越线也有代价。你选择承担前者，因为在你心里，冰冷正确不一定是人类正确。</v>
      </c>
      <c r="J15" s="17" t="str">
        <v>我测出SOFT-BRK：我先救“这个人”。</v>
      </c>
    </row>
    <row r="16">
      <c r="A16" s="17" t="str">
        <v>IPNR</v>
      </c>
      <c r="B16" s="17" t="str">
        <v>原则守人派</v>
      </c>
      <c r="C16" s="17" t="str">
        <v>SOUL-LAW</v>
      </c>
      <c r="D16" s="17" t="str">
        <v>慢一点，也要把人当人。</v>
      </c>
      <c r="E16" s="17" t="str">
        <v>ETHIC</v>
      </c>
      <c r="F16" s="17" t="str">
        <v>伦理体</v>
      </c>
      <c r="G16" s="17" t="str">
        <v>尊严与程序双锁已接管</v>
      </c>
      <c r="H16" s="17" t="str">
        <v>主打一个：不把任何人当可牺牲噪音。</v>
      </c>
      <c r="I16" s="17" t="str">
        <v>你看重个体尊严，也坚持程序边界，不愿靠情绪冲动做生死决定。你宁可多花时间确认，也不愿把某个人草率归类成“可接受损失”。你的选择可能不够激进，却很少留下伦理烂尾。你是那种会被说“太谨慎”，但回头看最经得起推敲的人。</v>
      </c>
      <c r="J16" s="17" t="str">
        <v>我测出SOUL-LAW：宁慢不糊，宁难不糙。</v>
      </c>
    </row>
    <row r="17">
      <c r="A17" s="17" t="str">
        <v>IPNB</v>
      </c>
      <c r="B17" s="17" t="str">
        <v>逆风守人者</v>
      </c>
      <c r="C17" s="17" t="str">
        <v>SOUL-NOW</v>
      </c>
      <c r="D17" s="17" t="str">
        <v>多数人的正确，不一定是你的活路。</v>
      </c>
      <c r="E17" s="17" t="str">
        <v>LAST-LIGHT</v>
      </c>
      <c r="F17" s="17" t="str">
        <v>余火体</v>
      </c>
      <c r="G17" s="17" t="str">
        <v>个体止损协议已接管</v>
      </c>
      <c r="H17" s="17" t="str">
        <v>主打一个：全网劝你放手，你偏不。</v>
      </c>
      <c r="I17" s="17" t="str">
        <v>你经常逆着主流做选择，因为你更在意眼前个体的生存权，而不是多数叙事的舒适感。你不太相信“牺牲少数换整体”的自动正当性，尤其当那个“少数”就在你面前时。你会被误解成感情用事，但你内心其实很清楚：有些人一旦放手，就再也没有第二次。</v>
      </c>
      <c r="J17" s="17" t="str">
        <v>我测出SOUL-NOW：多数不一定正义，活着才是。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